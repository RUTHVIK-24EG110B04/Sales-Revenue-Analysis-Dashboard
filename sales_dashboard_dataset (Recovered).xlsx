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uthv\OneDrive\Desktop\"/>
    </mc:Choice>
  </mc:AlternateContent>
  <xr:revisionPtr revIDLastSave="0" documentId="13_ncr:1_{6D56DFEE-6C9D-47F3-860A-219B4EDAFC40}" xr6:coauthVersionLast="47" xr6:coauthVersionMax="47" xr10:uidLastSave="{00000000-0000-0000-0000-000000000000}"/>
  <bookViews>
    <workbookView xWindow="-108" yWindow="-108" windowWidth="23256" windowHeight="12456" activeTab="5" xr2:uid="{00000000-000D-0000-FFFF-FFFF00000000}"/>
  </bookViews>
  <sheets>
    <sheet name="Sheet1" sheetId="2" r:id="rId1"/>
    <sheet name="Sheet2" sheetId="3" r:id="rId2"/>
    <sheet name="Sheet3" sheetId="4" r:id="rId3"/>
    <sheet name="Sheet4" sheetId="5" r:id="rId4"/>
    <sheet name="Dashboard" sheetId="6" r:id="rId5"/>
    <sheet name="SalesData" sheetId="1" r:id="rId6"/>
  </sheets>
  <definedNames>
    <definedName name="Slicer_Category">#N/A</definedName>
    <definedName name="Slicer_Product">#N/A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 l="1"/>
  <c r="J6" i="1"/>
</calcChain>
</file>

<file path=xl/sharedStrings.xml><?xml version="1.0" encoding="utf-8"?>
<sst xmlns="http://schemas.openxmlformats.org/spreadsheetml/2006/main" count="232" uniqueCount="63">
  <si>
    <t>Date</t>
  </si>
  <si>
    <t>Product</t>
  </si>
  <si>
    <t>Category</t>
  </si>
  <si>
    <t>Region</t>
  </si>
  <si>
    <t>Quantity</t>
  </si>
  <si>
    <t>Price</t>
  </si>
  <si>
    <t>Revenue</t>
  </si>
  <si>
    <t>2025-01-01</t>
  </si>
  <si>
    <t>Laptop</t>
  </si>
  <si>
    <t>Electronics</t>
  </si>
  <si>
    <t>South</t>
  </si>
  <si>
    <t>2025-01-02</t>
  </si>
  <si>
    <t>Mobile</t>
  </si>
  <si>
    <t>North</t>
  </si>
  <si>
    <t>2025-01-03</t>
  </si>
  <si>
    <t>Headphones</t>
  </si>
  <si>
    <t>Accessories</t>
  </si>
  <si>
    <t>East</t>
  </si>
  <si>
    <t>2025-01-04</t>
  </si>
  <si>
    <t>Tablet</t>
  </si>
  <si>
    <t>West</t>
  </si>
  <si>
    <t>2025-01-05</t>
  </si>
  <si>
    <t>Keyboard</t>
  </si>
  <si>
    <t>2025-01-06</t>
  </si>
  <si>
    <t>Mouse</t>
  </si>
  <si>
    <t>2025-01-07</t>
  </si>
  <si>
    <t>Monitor</t>
  </si>
  <si>
    <t>2025-01-08</t>
  </si>
  <si>
    <t>Printer</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</si>
  <si>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</si>
  <si>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</si>
  <si>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</si>
  <si>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</si>
  <si>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</si>
  <si>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</si>
  <si>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</si>
  <si>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</si>
  <si>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</si>
  <si>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</si>
  <si>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</si>
  <si>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</si>
  <si>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</si>
  <si>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</si>
  <si>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</si>
  <si>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</si>
  <si>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</si>
  <si>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</si>
  <si>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</si>
  <si>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</si>
  <si>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</si>
  <si>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</si>
  <si>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</si>
  <si>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</si>
  <si>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Row Labels</t>
  </si>
  <si>
    <t>Grand Total</t>
  </si>
  <si>
    <t>Sum of Revenue</t>
  </si>
  <si>
    <t>Line Chart</t>
  </si>
  <si>
    <t>Bar Chart</t>
  </si>
  <si>
    <t>Column Chart</t>
  </si>
  <si>
    <t>Pie Chart</t>
  </si>
  <si>
    <t>Slicers</t>
  </si>
  <si>
    <t>Quantity Total</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</si>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</sst>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Sheet1!$A$4:$A$36</c:f>
              <c:strCache>
                <c:ptCount val="32"/>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strCache>
            </c:strRef>
          </c:cat>
          <c:val>
            <c:numRef>
              <c:f>Sheet1!$B$4:$B$36</c:f>
              <c:numCache>
                <c:formatCode>General</c:formatCode>
                <c:ptCount val="32"/>
                <c:pt idx="0">
                  <c:v>100000</c:v>
                </c:pt>
                <c:pt idx="1">
                  <c:v>100000</c:v>
                </c:pt>
                <c:pt idx="2">
                  <c:v>20000</c:v>
                </c:pt>
                <c:pt idx="3">
                  <c:v>90000</c:v>
                </c:pt>
                <c:pt idx="4">
                  <c:v>10500</c:v>
                </c:pt>
                <c:pt idx="5">
                  <c:v>6400</c:v>
                </c:pt>
                <c:pt idx="6">
                  <c:v>48000</c:v>
                </c:pt>
                <c:pt idx="7">
                  <c:v>30000</c:v>
                </c:pt>
                <c:pt idx="8">
                  <c:v>52000</c:v>
                </c:pt>
                <c:pt idx="9">
                  <c:v>108000</c:v>
                </c:pt>
                <c:pt idx="10">
                  <c:v>21600</c:v>
                </c:pt>
                <c:pt idx="11">
                  <c:v>56000</c:v>
                </c:pt>
                <c:pt idx="12">
                  <c:v>8000</c:v>
                </c:pt>
                <c:pt idx="13">
                  <c:v>9000</c:v>
                </c:pt>
                <c:pt idx="14">
                  <c:v>33000</c:v>
                </c:pt>
                <c:pt idx="15">
                  <c:v>14000</c:v>
                </c:pt>
                <c:pt idx="16">
                  <c:v>102000</c:v>
                </c:pt>
                <c:pt idx="17">
                  <c:v>84000</c:v>
                </c:pt>
                <c:pt idx="18">
                  <c:v>19800</c:v>
                </c:pt>
                <c:pt idx="19">
                  <c:v>87000</c:v>
                </c:pt>
                <c:pt idx="20">
                  <c:v>8400</c:v>
                </c:pt>
                <c:pt idx="21">
                  <c:v>5950</c:v>
                </c:pt>
                <c:pt idx="22">
                  <c:v>62500</c:v>
                </c:pt>
                <c:pt idx="23">
                  <c:v>31000</c:v>
                </c:pt>
                <c:pt idx="24">
                  <c:v>159000</c:v>
                </c:pt>
                <c:pt idx="25">
                  <c:v>95000</c:v>
                </c:pt>
                <c:pt idx="26">
                  <c:v>23100</c:v>
                </c:pt>
                <c:pt idx="27">
                  <c:v>54000</c:v>
                </c:pt>
                <c:pt idx="28">
                  <c:v>12000</c:v>
                </c:pt>
                <c:pt idx="29">
                  <c:v>8550</c:v>
                </c:pt>
                <c:pt idx="30">
                  <c:v>52000</c:v>
                </c:pt>
                <c:pt idx="31">
                  <c:v>16000</c:v>
                </c:pt>
              </c:numCache>
            </c:numRef>
          </c:val>
          <c:smooth val="0"/>
          <c:extLst>
            <c:ext xmlns:c16="http://schemas.microsoft.com/office/drawing/2014/chart" uri="{C3380CC4-5D6E-409C-BE32-E72D297353CC}">
              <c16:uniqueId val="{00000000-D1F7-40B9-82A5-D6054F828E3D}"/>
            </c:ext>
          </c:extLst>
        </c:ser>
        <c:dLbls>
          <c:showLegendKey val="0"/>
          <c:showVal val="0"/>
          <c:showCatName val="0"/>
          <c:showSerName val="0"/>
          <c:showPercent val="0"/>
          <c:showBubbleSize val="0"/>
        </c:dLbls>
        <c:smooth val="0"/>
        <c:axId val="330390752"/>
        <c:axId val="330391232"/>
      </c:lineChart>
      <c:catAx>
        <c:axId val="3303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91232"/>
        <c:crosses val="autoZero"/>
        <c:auto val="1"/>
        <c:lblAlgn val="ctr"/>
        <c:lblOffset val="100"/>
        <c:noMultiLvlLbl val="0"/>
      </c:catAx>
      <c:valAx>
        <c:axId val="33039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9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(Recovered).xlsx]Sheet2!PivotTable2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Accessories</c:v>
                </c:pt>
                <c:pt idx="1">
                  <c:v>Electronics</c:v>
                </c:pt>
              </c:strCache>
            </c:strRef>
          </c:cat>
          <c:val>
            <c:numRef>
              <c:f>Sheet2!$B$4:$B$6</c:f>
              <c:numCache>
                <c:formatCode>General</c:formatCode>
                <c:ptCount val="2"/>
                <c:pt idx="0">
                  <c:v>153300</c:v>
                </c:pt>
                <c:pt idx="1">
                  <c:v>1373500</c:v>
                </c:pt>
              </c:numCache>
            </c:numRef>
          </c:val>
          <c:extLst>
            <c:ext xmlns:c16="http://schemas.microsoft.com/office/drawing/2014/chart" uri="{C3380CC4-5D6E-409C-BE32-E72D297353CC}">
              <c16:uniqueId val="{00000000-0274-4726-B771-03D274341193}"/>
            </c:ext>
          </c:extLst>
        </c:ser>
        <c:dLbls>
          <c:showLegendKey val="0"/>
          <c:showVal val="0"/>
          <c:showCatName val="0"/>
          <c:showSerName val="0"/>
          <c:showPercent val="0"/>
          <c:showBubbleSize val="0"/>
        </c:dLbls>
        <c:gapWidth val="182"/>
        <c:axId val="330435392"/>
        <c:axId val="330435872"/>
      </c:barChart>
      <c:catAx>
        <c:axId val="33043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35872"/>
        <c:crosses val="autoZero"/>
        <c:auto val="1"/>
        <c:lblAlgn val="ctr"/>
        <c:lblOffset val="100"/>
        <c:noMultiLvlLbl val="0"/>
      </c:catAx>
      <c:valAx>
        <c:axId val="33043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3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Laptop</c:v>
                </c:pt>
                <c:pt idx="1">
                  <c:v>Mobile</c:v>
                </c:pt>
                <c:pt idx="2">
                  <c:v>Tablet</c:v>
                </c:pt>
                <c:pt idx="3">
                  <c:v>Monitor</c:v>
                </c:pt>
                <c:pt idx="4">
                  <c:v>Printer</c:v>
                </c:pt>
                <c:pt idx="5">
                  <c:v>Headphones</c:v>
                </c:pt>
                <c:pt idx="6">
                  <c:v>Keyboard</c:v>
                </c:pt>
                <c:pt idx="7">
                  <c:v>Mouse</c:v>
                </c:pt>
              </c:strCache>
            </c:strRef>
          </c:cat>
          <c:val>
            <c:numRef>
              <c:f>Sheet3!$B$4:$B$12</c:f>
              <c:numCache>
                <c:formatCode>General</c:formatCode>
                <c:ptCount val="8"/>
                <c:pt idx="0">
                  <c:v>413000</c:v>
                </c:pt>
                <c:pt idx="1">
                  <c:v>387000</c:v>
                </c:pt>
                <c:pt idx="2">
                  <c:v>287000</c:v>
                </c:pt>
                <c:pt idx="3">
                  <c:v>195500</c:v>
                </c:pt>
                <c:pt idx="4">
                  <c:v>91000</c:v>
                </c:pt>
                <c:pt idx="5">
                  <c:v>84500</c:v>
                </c:pt>
                <c:pt idx="6">
                  <c:v>38900</c:v>
                </c:pt>
                <c:pt idx="7">
                  <c:v>29900</c:v>
                </c:pt>
              </c:numCache>
            </c:numRef>
          </c:val>
          <c:extLst>
            <c:ext xmlns:c16="http://schemas.microsoft.com/office/drawing/2014/chart" uri="{C3380CC4-5D6E-409C-BE32-E72D297353CC}">
              <c16:uniqueId val="{00000000-F4E2-4087-8B85-5EEAE3422CC1}"/>
            </c:ext>
          </c:extLst>
        </c:ser>
        <c:dLbls>
          <c:showLegendKey val="0"/>
          <c:showVal val="0"/>
          <c:showCatName val="0"/>
          <c:showSerName val="0"/>
          <c:showPercent val="0"/>
          <c:showBubbleSize val="0"/>
        </c:dLbls>
        <c:gapWidth val="219"/>
        <c:overlap val="-27"/>
        <c:axId val="330412352"/>
        <c:axId val="330422912"/>
      </c:barChart>
      <c:catAx>
        <c:axId val="3304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22912"/>
        <c:crosses val="autoZero"/>
        <c:auto val="1"/>
        <c:lblAlgn val="ctr"/>
        <c:lblOffset val="100"/>
        <c:noMultiLvlLbl val="0"/>
      </c:catAx>
      <c:valAx>
        <c:axId val="33042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1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(Recovered).xlsx]Sheet4!PivotTable4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6-4E20-B925-6D5513F94D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6-4E20-B925-6D5513F94D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66-4E20-B925-6D5513F94D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66-4E20-B925-6D5513F94D8D}"/>
              </c:ext>
            </c:extLst>
          </c:dPt>
          <c:cat>
            <c:strRef>
              <c:f>Sheet4!$A$4:$A$5</c:f>
              <c:strCache>
                <c:ptCount val="1"/>
                <c:pt idx="0">
                  <c:v>East</c:v>
                </c:pt>
              </c:strCache>
            </c:strRef>
          </c:cat>
          <c:val>
            <c:numRef>
              <c:f>Sheet4!$B$4:$B$5</c:f>
              <c:numCache>
                <c:formatCode>General</c:formatCode>
                <c:ptCount val="1"/>
                <c:pt idx="0">
                  <c:v>280000</c:v>
                </c:pt>
              </c:numCache>
            </c:numRef>
          </c:val>
          <c:extLst>
            <c:ext xmlns:c16="http://schemas.microsoft.com/office/drawing/2014/chart" uri="{C3380CC4-5D6E-409C-BE32-E72D297353CC}">
              <c16:uniqueId val="{00000000-4669-475B-966B-6AB3C2897D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Sheet1!$A$4:$A$36</c:f>
              <c:strCache>
                <c:ptCount val="32"/>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strCache>
            </c:strRef>
          </c:cat>
          <c:val>
            <c:numRef>
              <c:f>Sheet1!$B$4:$B$36</c:f>
              <c:numCache>
                <c:formatCode>General</c:formatCode>
                <c:ptCount val="32"/>
                <c:pt idx="0">
                  <c:v>100000</c:v>
                </c:pt>
                <c:pt idx="1">
                  <c:v>100000</c:v>
                </c:pt>
                <c:pt idx="2">
                  <c:v>20000</c:v>
                </c:pt>
                <c:pt idx="3">
                  <c:v>90000</c:v>
                </c:pt>
                <c:pt idx="4">
                  <c:v>10500</c:v>
                </c:pt>
                <c:pt idx="5">
                  <c:v>6400</c:v>
                </c:pt>
                <c:pt idx="6">
                  <c:v>48000</c:v>
                </c:pt>
                <c:pt idx="7">
                  <c:v>30000</c:v>
                </c:pt>
                <c:pt idx="8">
                  <c:v>52000</c:v>
                </c:pt>
                <c:pt idx="9">
                  <c:v>108000</c:v>
                </c:pt>
                <c:pt idx="10">
                  <c:v>21600</c:v>
                </c:pt>
                <c:pt idx="11">
                  <c:v>56000</c:v>
                </c:pt>
                <c:pt idx="12">
                  <c:v>8000</c:v>
                </c:pt>
                <c:pt idx="13">
                  <c:v>9000</c:v>
                </c:pt>
                <c:pt idx="14">
                  <c:v>33000</c:v>
                </c:pt>
                <c:pt idx="15">
                  <c:v>14000</c:v>
                </c:pt>
                <c:pt idx="16">
                  <c:v>102000</c:v>
                </c:pt>
                <c:pt idx="17">
                  <c:v>84000</c:v>
                </c:pt>
                <c:pt idx="18">
                  <c:v>19800</c:v>
                </c:pt>
                <c:pt idx="19">
                  <c:v>87000</c:v>
                </c:pt>
                <c:pt idx="20">
                  <c:v>8400</c:v>
                </c:pt>
                <c:pt idx="21">
                  <c:v>5950</c:v>
                </c:pt>
                <c:pt idx="22">
                  <c:v>62500</c:v>
                </c:pt>
                <c:pt idx="23">
                  <c:v>31000</c:v>
                </c:pt>
                <c:pt idx="24">
                  <c:v>159000</c:v>
                </c:pt>
                <c:pt idx="25">
                  <c:v>95000</c:v>
                </c:pt>
                <c:pt idx="26">
                  <c:v>23100</c:v>
                </c:pt>
                <c:pt idx="27">
                  <c:v>54000</c:v>
                </c:pt>
                <c:pt idx="28">
                  <c:v>12000</c:v>
                </c:pt>
                <c:pt idx="29">
                  <c:v>8550</c:v>
                </c:pt>
                <c:pt idx="30">
                  <c:v>52000</c:v>
                </c:pt>
                <c:pt idx="31">
                  <c:v>16000</c:v>
                </c:pt>
              </c:numCache>
            </c:numRef>
          </c:val>
          <c:smooth val="0"/>
          <c:extLst>
            <c:ext xmlns:c16="http://schemas.microsoft.com/office/drawing/2014/chart" uri="{C3380CC4-5D6E-409C-BE32-E72D297353CC}">
              <c16:uniqueId val="{00000000-849F-4815-850C-036F7D64C92C}"/>
            </c:ext>
          </c:extLst>
        </c:ser>
        <c:dLbls>
          <c:showLegendKey val="0"/>
          <c:showVal val="0"/>
          <c:showCatName val="0"/>
          <c:showSerName val="0"/>
          <c:showPercent val="0"/>
          <c:showBubbleSize val="0"/>
        </c:dLbls>
        <c:smooth val="0"/>
        <c:axId val="330390752"/>
        <c:axId val="330391232"/>
      </c:lineChart>
      <c:catAx>
        <c:axId val="3303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91232"/>
        <c:crosses val="autoZero"/>
        <c:auto val="1"/>
        <c:lblAlgn val="ctr"/>
        <c:lblOffset val="100"/>
        <c:noMultiLvlLbl val="0"/>
      </c:catAx>
      <c:valAx>
        <c:axId val="33039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9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(Recovered).xlsx]Sheet2!PivotTable2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Accessories</c:v>
                </c:pt>
                <c:pt idx="1">
                  <c:v>Electronics</c:v>
                </c:pt>
              </c:strCache>
            </c:strRef>
          </c:cat>
          <c:val>
            <c:numRef>
              <c:f>Sheet2!$B$4:$B$6</c:f>
              <c:numCache>
                <c:formatCode>General</c:formatCode>
                <c:ptCount val="2"/>
                <c:pt idx="0">
                  <c:v>153300</c:v>
                </c:pt>
                <c:pt idx="1">
                  <c:v>1373500</c:v>
                </c:pt>
              </c:numCache>
            </c:numRef>
          </c:val>
          <c:extLst>
            <c:ext xmlns:c16="http://schemas.microsoft.com/office/drawing/2014/chart" uri="{C3380CC4-5D6E-409C-BE32-E72D297353CC}">
              <c16:uniqueId val="{00000000-66E5-4A41-BE19-4440DB501108}"/>
            </c:ext>
          </c:extLst>
        </c:ser>
        <c:dLbls>
          <c:showLegendKey val="0"/>
          <c:showVal val="0"/>
          <c:showCatName val="0"/>
          <c:showSerName val="0"/>
          <c:showPercent val="0"/>
          <c:showBubbleSize val="0"/>
        </c:dLbls>
        <c:gapWidth val="182"/>
        <c:axId val="330435392"/>
        <c:axId val="330435872"/>
      </c:barChart>
      <c:catAx>
        <c:axId val="33043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35872"/>
        <c:crosses val="autoZero"/>
        <c:auto val="1"/>
        <c:lblAlgn val="ctr"/>
        <c:lblOffset val="100"/>
        <c:noMultiLvlLbl val="0"/>
      </c:catAx>
      <c:valAx>
        <c:axId val="33043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3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(Recovered).xlsx]Sheet3!PivotTable3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Laptop</c:v>
                </c:pt>
                <c:pt idx="1">
                  <c:v>Mobile</c:v>
                </c:pt>
                <c:pt idx="2">
                  <c:v>Tablet</c:v>
                </c:pt>
                <c:pt idx="3">
                  <c:v>Monitor</c:v>
                </c:pt>
                <c:pt idx="4">
                  <c:v>Printer</c:v>
                </c:pt>
                <c:pt idx="5">
                  <c:v>Headphones</c:v>
                </c:pt>
                <c:pt idx="6">
                  <c:v>Keyboard</c:v>
                </c:pt>
                <c:pt idx="7">
                  <c:v>Mouse</c:v>
                </c:pt>
              </c:strCache>
            </c:strRef>
          </c:cat>
          <c:val>
            <c:numRef>
              <c:f>Sheet3!$B$4:$B$12</c:f>
              <c:numCache>
                <c:formatCode>General</c:formatCode>
                <c:ptCount val="8"/>
                <c:pt idx="0">
                  <c:v>413000</c:v>
                </c:pt>
                <c:pt idx="1">
                  <c:v>387000</c:v>
                </c:pt>
                <c:pt idx="2">
                  <c:v>287000</c:v>
                </c:pt>
                <c:pt idx="3">
                  <c:v>195500</c:v>
                </c:pt>
                <c:pt idx="4">
                  <c:v>91000</c:v>
                </c:pt>
                <c:pt idx="5">
                  <c:v>84500</c:v>
                </c:pt>
                <c:pt idx="6">
                  <c:v>38900</c:v>
                </c:pt>
                <c:pt idx="7">
                  <c:v>29900</c:v>
                </c:pt>
              </c:numCache>
            </c:numRef>
          </c:val>
          <c:extLst>
            <c:ext xmlns:c16="http://schemas.microsoft.com/office/drawing/2014/chart" uri="{C3380CC4-5D6E-409C-BE32-E72D297353CC}">
              <c16:uniqueId val="{00000000-CF70-4DE2-A7C6-47E76A72FD37}"/>
            </c:ext>
          </c:extLst>
        </c:ser>
        <c:dLbls>
          <c:showLegendKey val="0"/>
          <c:showVal val="0"/>
          <c:showCatName val="0"/>
          <c:showSerName val="0"/>
          <c:showPercent val="0"/>
          <c:showBubbleSize val="0"/>
        </c:dLbls>
        <c:gapWidth val="219"/>
        <c:overlap val="-27"/>
        <c:axId val="330412352"/>
        <c:axId val="330422912"/>
      </c:barChart>
      <c:catAx>
        <c:axId val="3304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22912"/>
        <c:crosses val="autoZero"/>
        <c:auto val="1"/>
        <c:lblAlgn val="ctr"/>
        <c:lblOffset val="100"/>
        <c:noMultiLvlLbl val="0"/>
      </c:catAx>
      <c:valAx>
        <c:axId val="33042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1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 (Recovered).xlsx]Sheet4!PivotTable4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05-4782-9CD3-72CE0F3AF8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05-4782-9CD3-72CE0F3AF8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05-4782-9CD3-72CE0F3AF8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05-4782-9CD3-72CE0F3AF8AF}"/>
              </c:ext>
            </c:extLst>
          </c:dPt>
          <c:cat>
            <c:strRef>
              <c:f>Sheet4!$A$4:$A$5</c:f>
              <c:strCache>
                <c:ptCount val="1"/>
                <c:pt idx="0">
                  <c:v>East</c:v>
                </c:pt>
              </c:strCache>
            </c:strRef>
          </c:cat>
          <c:val>
            <c:numRef>
              <c:f>Sheet4!$B$4:$B$5</c:f>
              <c:numCache>
                <c:formatCode>General</c:formatCode>
                <c:ptCount val="1"/>
                <c:pt idx="0">
                  <c:v>280000</c:v>
                </c:pt>
              </c:numCache>
            </c:numRef>
          </c:val>
          <c:extLst>
            <c:ext xmlns:c16="http://schemas.microsoft.com/office/drawing/2014/chart" uri="{C3380CC4-5D6E-409C-BE32-E72D297353CC}">
              <c16:uniqueId val="{00000008-3705-4782-9CD3-72CE0F3AF8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106680</xdr:colOff>
      <xdr:row>4</xdr:row>
      <xdr:rowOff>140970</xdr:rowOff>
    </xdr:from>
    <xdr:to>
      <xdr:col>9</xdr:col>
      <xdr:colOff>411480</xdr:colOff>
      <xdr:row>19</xdr:row>
      <xdr:rowOff>140970</xdr:rowOff>
    </xdr:to>
    <xdr:graphicFrame macro="">
      <xdr:nvGraphicFramePr>
        <xdr:cNvPr id="2" name="Chart 1">
          <a:extLst>
            <a:ext uri="{FF2B5EF4-FFF2-40B4-BE49-F238E27FC236}">
              <a16:creationId xmlns:a16="http://schemas.microsoft.com/office/drawing/2014/main" id="{C2B7C743-0A77-1009-D119-440C00C04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274320</xdr:colOff>
      <xdr:row>6</xdr:row>
      <xdr:rowOff>34290</xdr:rowOff>
    </xdr:from>
    <xdr:to>
      <xdr:col>8</xdr:col>
      <xdr:colOff>167640</xdr:colOff>
      <xdr:row>21</xdr:row>
      <xdr:rowOff>34290</xdr:rowOff>
    </xdr:to>
    <xdr:graphicFrame macro="">
      <xdr:nvGraphicFramePr>
        <xdr:cNvPr id="3" name="Chart 2">
          <a:extLst>
            <a:ext uri="{FF2B5EF4-FFF2-40B4-BE49-F238E27FC236}">
              <a16:creationId xmlns:a16="http://schemas.microsoft.com/office/drawing/2014/main" id="{FBCD0D78-BD0E-C94C-D58F-32200CD70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xdr:colOff>
      <xdr:row>5</xdr:row>
      <xdr:rowOff>64770</xdr:rowOff>
    </xdr:from>
    <xdr:to>
      <xdr:col>9</xdr:col>
      <xdr:colOff>327660</xdr:colOff>
      <xdr:row>20</xdr:row>
      <xdr:rowOff>64770</xdr:rowOff>
    </xdr:to>
    <xdr:graphicFrame macro="">
      <xdr:nvGraphicFramePr>
        <xdr:cNvPr id="3" name="Chart 2">
          <a:extLst>
            <a:ext uri="{FF2B5EF4-FFF2-40B4-BE49-F238E27FC236}">
              <a16:creationId xmlns:a16="http://schemas.microsoft.com/office/drawing/2014/main" id="{D1A4F670-CC8D-647B-C572-971C9D92A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xdr:colOff>
      <xdr:row>5</xdr:row>
      <xdr:rowOff>156210</xdr:rowOff>
    </xdr:from>
    <xdr:to>
      <xdr:col>9</xdr:col>
      <xdr:colOff>396240</xdr:colOff>
      <xdr:row>20</xdr:row>
      <xdr:rowOff>156210</xdr:rowOff>
    </xdr:to>
    <xdr:graphicFrame macro="">
      <xdr:nvGraphicFramePr>
        <xdr:cNvPr id="2" name="Chart 1">
          <a:extLst>
            <a:ext uri="{FF2B5EF4-FFF2-40B4-BE49-F238E27FC236}">
              <a16:creationId xmlns:a16="http://schemas.microsoft.com/office/drawing/2014/main" id="{3D5FCC03-9F49-1AB6-08C0-6130128CE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243840</xdr:colOff>
      <xdr:row>23</xdr:row>
      <xdr:rowOff>76200</xdr:rowOff>
    </xdr:from>
    <xdr:to>
      <xdr:col>8</xdr:col>
      <xdr:colOff>243840</xdr:colOff>
      <xdr:row>36</xdr:row>
      <xdr:rowOff>165735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DA01E15D-BC51-9F45-F541-334CDE89BA6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54780" y="428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23</xdr:row>
      <xdr:rowOff>68580</xdr:rowOff>
    </xdr:from>
    <xdr:to>
      <xdr:col>5</xdr:col>
      <xdr:colOff>121920</xdr:colOff>
      <xdr:row>36</xdr:row>
      <xdr:rowOff>158115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EE25F1F-0D60-A4B5-82CA-1812DBFBC4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4060" y="427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23</xdr:row>
      <xdr:rowOff>83820</xdr:rowOff>
    </xdr:from>
    <xdr:to>
      <xdr:col>2</xdr:col>
      <xdr:colOff>15240</xdr:colOff>
      <xdr:row>36</xdr:row>
      <xdr:rowOff>173355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7A68591-B88A-8424-5725-17B8201C62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 y="429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45720</xdr:colOff>
      <xdr:row>16</xdr:row>
      <xdr:rowOff>0</xdr:rowOff>
    </xdr:to>
    <xdr:graphicFrame macro="">
      <xdr:nvGraphicFramePr>
        <xdr:cNvPr id="2" name="Chart 1">
          <a:extLst>
            <a:ext uri="{FF2B5EF4-FFF2-40B4-BE49-F238E27FC236}">
              <a16:creationId xmlns:a16="http://schemas.microsoft.com/office/drawing/2014/main" id="{293B71F8-566C-4118-9B90-188B72F8A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15</xdr:col>
      <xdr:colOff>304800</xdr:colOff>
      <xdr:row>16</xdr:row>
      <xdr:rowOff>0</xdr:rowOff>
    </xdr:to>
    <xdr:graphicFrame macro="">
      <xdr:nvGraphicFramePr>
        <xdr:cNvPr id="3" name="Chart 2">
          <a:extLst>
            <a:ext uri="{FF2B5EF4-FFF2-40B4-BE49-F238E27FC236}">
              <a16:creationId xmlns:a16="http://schemas.microsoft.com/office/drawing/2014/main" id="{677D82BC-2304-4E89-8384-69DCD4CE5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0</xdr:rowOff>
    </xdr:from>
    <xdr:to>
      <xdr:col>23</xdr:col>
      <xdr:colOff>304800</xdr:colOff>
      <xdr:row>16</xdr:row>
      <xdr:rowOff>0</xdr:rowOff>
    </xdr:to>
    <xdr:graphicFrame macro="">
      <xdr:nvGraphicFramePr>
        <xdr:cNvPr id="4" name="Chart 3">
          <a:extLst>
            <a:ext uri="{FF2B5EF4-FFF2-40B4-BE49-F238E27FC236}">
              <a16:creationId xmlns:a16="http://schemas.microsoft.com/office/drawing/2014/main" id="{C36D1F16-3612-4D5C-B79A-D7A5FD840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7</xdr:col>
      <xdr:colOff>45720</xdr:colOff>
      <xdr:row>33</xdr:row>
      <xdr:rowOff>0</xdr:rowOff>
    </xdr:to>
    <xdr:graphicFrame macro="">
      <xdr:nvGraphicFramePr>
        <xdr:cNvPr id="5" name="Chart 4">
          <a:extLst>
            <a:ext uri="{FF2B5EF4-FFF2-40B4-BE49-F238E27FC236}">
              <a16:creationId xmlns:a16="http://schemas.microsoft.com/office/drawing/2014/main" id="{53077661-19E8-4B6A-9928-22DB07B33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19</xdr:row>
      <xdr:rowOff>0</xdr:rowOff>
    </xdr:from>
    <xdr:to>
      <xdr:col>11</xdr:col>
      <xdr:colOff>0</xdr:colOff>
      <xdr:row>32</xdr:row>
      <xdr:rowOff>89535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804E89F6-F224-446F-B007-97EC43AFD16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135880" y="3474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19</xdr:row>
      <xdr:rowOff>0</xdr:rowOff>
    </xdr:from>
    <xdr:to>
      <xdr:col>15</xdr:col>
      <xdr:colOff>0</xdr:colOff>
      <xdr:row>32</xdr:row>
      <xdr:rowOff>89535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5B08C65-DBA4-4B2D-8D0F-694CE10C59A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74280" y="3474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19</xdr:row>
      <xdr:rowOff>0</xdr:rowOff>
    </xdr:from>
    <xdr:to>
      <xdr:col>19</xdr:col>
      <xdr:colOff>0</xdr:colOff>
      <xdr:row>32</xdr:row>
      <xdr:rowOff>89535</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57678A92-A17B-48F3-BA38-57738F3A813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012680" y="3474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HVIK AKAVARAM RUTHVIK AKAVARAM" refreshedDate="46147.459048032404" createdVersion="8" refreshedVersion="8" minRefreshableVersion="3" recordCount="32" xr:uid="{060F3FD2-B3D4-46C4-B521-F7672482D870}">
  <cacheSource type="worksheet">
    <worksheetSource name="Table1"/>
  </cacheSource>
  <cacheFields count="7">
    <cacheField name="Date" numFmtId="0">
      <sharedItems count="32">
        <s v="2025-01-01"/>
        <s v="2025-01-02"/>
        <s v="2025-01-03"/>
        <s v="2025-01-04"/>
        <s v="2025-01-05"/>
        <s v="2025-01-06"/>
        <s v="2025-01-07"/>
        <s v="2025-01-08"/>
        <s v="2025-01-09"/>
        <s v="2025-01-10"/>
        <s v="2025-01-11"/>
        <s v="2025-01-12"/>
        <s v="2025-01-13"/>
        <s v="2025-01-14"/>
        <s v="2025-01-15"/>
        <s v="2025-01-16"/>
        <s v="2025-01-17"/>
        <s v="2025-01-18"/>
        <s v="2025-01-19"/>
        <s v="2025-01-20"/>
        <s v="2025-01-21"/>
        <s v="2025-01-22"/>
        <s v="2025-01-23"/>
        <s v="2025-01-24"/>
        <s v="2025-01-25"/>
        <s v="2025-01-26"/>
        <s v="2025-01-27"/>
        <s v="2025-01-28"/>
        <s v="2025-01-29"/>
        <s v="2025-01-30"/>
        <s v="2025-01-31"/>
        <s v="2025-02-01"/>
      </sharedItems>
    </cacheField>
    <cacheField name="Product" numFmtId="0">
      <sharedItems count="8">
        <s v="Laptop"/>
        <s v="Mobile"/>
        <s v="Headphones"/>
        <s v="Tablet"/>
        <s v="Keyboard"/>
        <s v="Mouse"/>
        <s v="Monitor"/>
        <s v="Printer"/>
      </sharedItems>
    </cacheField>
    <cacheField name="Category" numFmtId="0">
      <sharedItems count="2">
        <s v="Electronics"/>
        <s v="Accessories"/>
      </sharedItems>
    </cacheField>
    <cacheField name="Region" numFmtId="0">
      <sharedItems count="4">
        <s v="South"/>
        <s v="North"/>
        <s v="East"/>
        <s v="West"/>
      </sharedItems>
    </cacheField>
    <cacheField name="Quantity" numFmtId="0">
      <sharedItems containsSemiMixedTypes="0" containsString="0" containsNumber="1" containsInteger="1" minValue="1" maxValue="12"/>
    </cacheField>
    <cacheField name="Price" numFmtId="0">
      <sharedItems containsSemiMixedTypes="0" containsString="0" containsNumber="1" containsInteger="1" minValue="800" maxValue="53000"/>
    </cacheField>
    <cacheField name="Revenue" numFmtId="0">
      <sharedItems containsSemiMixedTypes="0" containsString="0" containsNumber="1" containsInteger="1" minValue="5950" maxValue="159000"/>
    </cacheField>
  </cacheFields>
  <extLst>
    <ext xmlns:x14="http://schemas.microsoft.com/office/spreadsheetml/2009/9/main" uri="{725AE2AE-9491-48be-B2B4-4EB974FC3084}">
      <x14:pivotCacheDefinition pivotCacheId="1113661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n v="2"/>
    <n v="50000"/>
    <n v="100000"/>
  </r>
  <r>
    <x v="1"/>
    <x v="1"/>
    <x v="0"/>
    <x v="1"/>
    <n v="5"/>
    <n v="20000"/>
    <n v="100000"/>
  </r>
  <r>
    <x v="2"/>
    <x v="2"/>
    <x v="1"/>
    <x v="2"/>
    <n v="10"/>
    <n v="2000"/>
    <n v="20000"/>
  </r>
  <r>
    <x v="3"/>
    <x v="3"/>
    <x v="0"/>
    <x v="3"/>
    <n v="3"/>
    <n v="30000"/>
    <n v="90000"/>
  </r>
  <r>
    <x v="4"/>
    <x v="4"/>
    <x v="1"/>
    <x v="0"/>
    <n v="7"/>
    <n v="1500"/>
    <n v="10500"/>
  </r>
  <r>
    <x v="5"/>
    <x v="5"/>
    <x v="1"/>
    <x v="1"/>
    <n v="8"/>
    <n v="800"/>
    <n v="6400"/>
  </r>
  <r>
    <x v="6"/>
    <x v="6"/>
    <x v="0"/>
    <x v="2"/>
    <n v="4"/>
    <n v="12000"/>
    <n v="48000"/>
  </r>
  <r>
    <x v="7"/>
    <x v="7"/>
    <x v="0"/>
    <x v="3"/>
    <n v="2"/>
    <n v="15000"/>
    <n v="30000"/>
  </r>
  <r>
    <x v="8"/>
    <x v="0"/>
    <x v="0"/>
    <x v="0"/>
    <n v="1"/>
    <n v="52000"/>
    <n v="52000"/>
  </r>
  <r>
    <x v="9"/>
    <x v="1"/>
    <x v="0"/>
    <x v="1"/>
    <n v="6"/>
    <n v="18000"/>
    <n v="108000"/>
  </r>
  <r>
    <x v="10"/>
    <x v="2"/>
    <x v="1"/>
    <x v="2"/>
    <n v="12"/>
    <n v="1800"/>
    <n v="21600"/>
  </r>
  <r>
    <x v="11"/>
    <x v="3"/>
    <x v="0"/>
    <x v="3"/>
    <n v="2"/>
    <n v="28000"/>
    <n v="56000"/>
  </r>
  <r>
    <x v="12"/>
    <x v="4"/>
    <x v="1"/>
    <x v="0"/>
    <n v="5"/>
    <n v="1600"/>
    <n v="8000"/>
  </r>
  <r>
    <x v="13"/>
    <x v="5"/>
    <x v="1"/>
    <x v="1"/>
    <n v="10"/>
    <n v="900"/>
    <n v="9000"/>
  </r>
  <r>
    <x v="14"/>
    <x v="6"/>
    <x v="0"/>
    <x v="2"/>
    <n v="3"/>
    <n v="11000"/>
    <n v="33000"/>
  </r>
  <r>
    <x v="15"/>
    <x v="7"/>
    <x v="0"/>
    <x v="3"/>
    <n v="1"/>
    <n v="14000"/>
    <n v="14000"/>
  </r>
  <r>
    <x v="16"/>
    <x v="0"/>
    <x v="0"/>
    <x v="0"/>
    <n v="2"/>
    <n v="51000"/>
    <n v="102000"/>
  </r>
  <r>
    <x v="17"/>
    <x v="1"/>
    <x v="0"/>
    <x v="1"/>
    <n v="4"/>
    <n v="21000"/>
    <n v="84000"/>
  </r>
  <r>
    <x v="18"/>
    <x v="2"/>
    <x v="1"/>
    <x v="2"/>
    <n v="9"/>
    <n v="2200"/>
    <n v="19800"/>
  </r>
  <r>
    <x v="19"/>
    <x v="3"/>
    <x v="0"/>
    <x v="3"/>
    <n v="3"/>
    <n v="29000"/>
    <n v="87000"/>
  </r>
  <r>
    <x v="20"/>
    <x v="4"/>
    <x v="1"/>
    <x v="0"/>
    <n v="6"/>
    <n v="1400"/>
    <n v="8400"/>
  </r>
  <r>
    <x v="21"/>
    <x v="5"/>
    <x v="1"/>
    <x v="1"/>
    <n v="7"/>
    <n v="850"/>
    <n v="5950"/>
  </r>
  <r>
    <x v="22"/>
    <x v="6"/>
    <x v="0"/>
    <x v="2"/>
    <n v="5"/>
    <n v="12500"/>
    <n v="62500"/>
  </r>
  <r>
    <x v="23"/>
    <x v="7"/>
    <x v="0"/>
    <x v="3"/>
    <n v="2"/>
    <n v="15500"/>
    <n v="31000"/>
  </r>
  <r>
    <x v="24"/>
    <x v="0"/>
    <x v="0"/>
    <x v="0"/>
    <n v="3"/>
    <n v="53000"/>
    <n v="159000"/>
  </r>
  <r>
    <x v="25"/>
    <x v="1"/>
    <x v="0"/>
    <x v="1"/>
    <n v="5"/>
    <n v="19000"/>
    <n v="95000"/>
  </r>
  <r>
    <x v="26"/>
    <x v="2"/>
    <x v="1"/>
    <x v="2"/>
    <n v="11"/>
    <n v="2100"/>
    <n v="23100"/>
  </r>
  <r>
    <x v="27"/>
    <x v="3"/>
    <x v="0"/>
    <x v="3"/>
    <n v="2"/>
    <n v="27000"/>
    <n v="54000"/>
  </r>
  <r>
    <x v="28"/>
    <x v="4"/>
    <x v="1"/>
    <x v="0"/>
    <n v="8"/>
    <n v="1500"/>
    <n v="12000"/>
  </r>
  <r>
    <x v="29"/>
    <x v="5"/>
    <x v="1"/>
    <x v="1"/>
    <n v="9"/>
    <n v="950"/>
    <n v="8550"/>
  </r>
  <r>
    <x v="30"/>
    <x v="6"/>
    <x v="0"/>
    <x v="2"/>
    <n v="4"/>
    <n v="13000"/>
    <n v="52000"/>
  </r>
  <r>
    <x v="31"/>
    <x v="7"/>
    <x v="0"/>
    <x v="3"/>
    <n v="1"/>
    <n v="16000"/>
    <n v="1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0A3FF-5F0A-466D-9E2A-9FC9E98920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6" firstHeaderRow="1" firstDataRow="1" firstDataCol="1"/>
  <pivotFields count="7">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items count="5">
        <item x="2"/>
        <item x="1"/>
        <item x="0"/>
        <item x="3"/>
        <item t="default"/>
      </items>
    </pivotField>
    <pivotField showAll="0"/>
    <pivotField showAll="0"/>
    <pivotField dataField="1"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Revenue"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2732D-4264-4F77-9767-B161567BF9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7">
    <pivotField showAll="0"/>
    <pivotField showAll="0"/>
    <pivotField axis="axisRow" showAll="0">
      <items count="3">
        <item x="1"/>
        <item x="0"/>
        <item t="default"/>
      </items>
    </pivotField>
    <pivotField showAll="0">
      <items count="5">
        <item x="2"/>
        <item x="1"/>
        <item x="0"/>
        <item x="3"/>
        <item t="default"/>
      </items>
    </pivotField>
    <pivotField showAll="0"/>
    <pivotField showAll="0"/>
    <pivotField dataField="1" showAll="0"/>
  </pivotFields>
  <rowFields count="1">
    <field x="2"/>
  </rowFields>
  <rowItems count="3">
    <i>
      <x/>
    </i>
    <i>
      <x v="1"/>
    </i>
    <i t="grand">
      <x/>
    </i>
  </rowItems>
  <colItems count="1">
    <i/>
  </colItems>
  <dataFields count="1">
    <dataField name="Sum of Revenue" fld="6" baseField="0" baseItem="0"/>
  </dataFields>
  <chartFormats count="3">
    <chartFormat chart="6"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6D1C9A-C857-44FA-870A-45DA11B7E8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7">
    <pivotField showAll="0"/>
    <pivotField axis="axisRow" showAll="0" sortType="descending">
      <items count="9">
        <item x="3"/>
        <item x="7"/>
        <item x="5"/>
        <item x="6"/>
        <item x="1"/>
        <item x="0"/>
        <item x="4"/>
        <item x="2"/>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pivotField showAll="0"/>
    <pivotField dataField="1" showAll="0"/>
  </pivotFields>
  <rowFields count="1">
    <field x="1"/>
  </rowFields>
  <rowItems count="9">
    <i>
      <x v="5"/>
    </i>
    <i>
      <x v="4"/>
    </i>
    <i>
      <x/>
    </i>
    <i>
      <x v="3"/>
    </i>
    <i>
      <x v="1"/>
    </i>
    <i>
      <x v="7"/>
    </i>
    <i>
      <x v="6"/>
    </i>
    <i>
      <x v="2"/>
    </i>
    <i t="grand">
      <x/>
    </i>
  </rowItems>
  <colItems count="1">
    <i/>
  </colItems>
  <dataFields count="1">
    <dataField name="Sum of Revenue"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FC14FC-7B73-4E7B-B1C8-F2D56099D8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7">
    <pivotField showAll="0"/>
    <pivotField showAll="0">
      <items count="9">
        <item x="2"/>
        <item x="4"/>
        <item x="0"/>
        <item x="1"/>
        <item x="6"/>
        <item x="5"/>
        <item x="7"/>
        <item x="3"/>
        <item t="default"/>
      </items>
    </pivotField>
    <pivotField showAll="0">
      <items count="3">
        <item x="1"/>
        <item x="0"/>
        <item t="default"/>
      </items>
    </pivotField>
    <pivotField axis="axisRow" showAll="0">
      <items count="5">
        <item x="2"/>
        <item h="1" x="1"/>
        <item h="1" x="0"/>
        <item h="1" x="3"/>
        <item t="default"/>
      </items>
    </pivotField>
    <pivotField showAll="0"/>
    <pivotField showAll="0"/>
    <pivotField dataField="1" showAll="0"/>
  </pivotFields>
  <rowFields count="1">
    <field x="3"/>
  </rowFields>
  <rowItems count="2">
    <i>
      <x/>
    </i>
    <i t="grand">
      <x/>
    </i>
  </rowItems>
  <colItems count="1">
    <i/>
  </colItems>
  <dataFields count="1">
    <dataField name="Sum of Revenue" fld="6" baseField="0" baseItem="0"/>
  </dataFields>
  <chartFormats count="7">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13CE1-AABA-4FD9-ACF9-3E6E4FC99F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4:AA37" firstHeaderRow="1" firstDataRow="1" firstDataCol="1"/>
  <pivotFields count="7">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items count="5">
        <item x="2"/>
        <item x="1"/>
        <item x="0"/>
        <item x="3"/>
        <item t="default"/>
      </items>
    </pivotField>
    <pivotField showAll="0"/>
    <pivotField showAll="0"/>
    <pivotField dataField="1"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Revenue"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B989C0-19DD-4FD5-8CDF-971108B80AAC}" sourceName="Product">
  <pivotTables>
    <pivotTable tabId="5" name="PivotTable4"/>
  </pivotTables>
  <data>
    <tabular pivotCacheId="1113661699">
      <items count="8">
        <i x="2" s="1"/>
        <i x="4" s="1"/>
        <i x="0" s="1"/>
        <i x="1" s="1"/>
        <i x="6" s="1"/>
        <i x="5"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946F92-2CB4-4299-B7D0-35E6DCF27F70}" sourceName="Category">
  <pivotTables>
    <pivotTable tabId="5" name="PivotTable4"/>
  </pivotTables>
  <data>
    <tabular pivotCacheId="111366169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D782BA-23BA-48C8-BF3D-726917FCDA7B}" sourceName="Region">
  <pivotTables>
    <pivotTable tabId="5" name="PivotTable4"/>
    <pivotTable tabId="2" name="PivotTable1"/>
    <pivotTable tabId="3" name="PivotTable2"/>
    <pivotTable tabId="4" name="PivotTable3"/>
    <pivotTable tabId="6" name="PivotTable1"/>
  </pivotTables>
  <data>
    <tabular pivotCacheId="1113661699">
      <items count="4">
        <i x="2" s="1"/>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C8FB5AA-85CD-4CCC-930D-BF7F24103C11}" cache="Slicer_Product" caption="Product" rowHeight="234950"/>
  <slicer name="Category" xr10:uid="{7B4E337A-7890-4F26-9F21-B51B2634248E}" cache="Slicer_Category" caption="Category" rowHeight="234950"/>
  <slicer name="Region" xr10:uid="{3D2A40D5-3C62-4253-AE4E-EC004CC4A22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65E76F4-C49E-4A69-B686-76CA66BC5CE3}" cache="Slicer_Product" caption="Product" rowHeight="234950"/>
  <slicer name="Category 1" xr10:uid="{176EA131-E5FE-43CE-B9C8-4ECE0D9A3065}" cache="Slicer_Category" caption="Category" rowHeight="234950"/>
  <slicer name="Region 1" xr10:uid="{8D81FAE7-9ABF-44A5-BD5B-4BE49BC0A38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C3AD2D-D0EF-4BA6-9A3C-4525E6DEC697}" name="Table1" displayName="Table1" ref="A1:G33" totalsRowShown="0">
  <autoFilter ref="A1:G33" xr:uid="{68C3AD2D-D0EF-4BA6-9A3C-4525E6DEC697}"/>
  <tableColumns count="7">
    <tableColumn id="1" xr3:uid="{5E6CD11C-FA4E-44DA-B071-EA5DCAC93FE7}" name="Date"/>
    <tableColumn id="2" xr3:uid="{F7ACF361-78AC-433A-88F5-FFA2DE6C312E}" name="Product"/>
    <tableColumn id="3" xr3:uid="{393CF384-5535-41E6-AF3E-44981186B3F9}" name="Category"/>
    <tableColumn id="4" xr3:uid="{27B791E8-FB13-4FB4-AC64-750A36BF0C9E}" name="Region"/>
    <tableColumn id="5" xr3:uid="{16ACB93A-DD30-4DD3-83D6-C03E2FAAE1EB}" name="Quantity"/>
    <tableColumn id="6" xr3:uid="{20EEBDCC-0131-48A8-8EB3-6FF11E90EC63}" name="Price"/>
    <tableColumn id="7" xr3:uid="{702C1A34-0317-4A02-8BCB-CE1B71A3405A}"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D07826-5B79-492E-A6CF-62B1169B8786}" name="Table2" displayName="Table2" ref="J5:K6" totalsRowShown="0">
  <autoFilter ref="J5:K6" xr:uid="{84D07826-5B79-492E-A6CF-62B1169B8786}"/>
  <tableColumns count="2">
    <tableColumn id="1" xr3:uid="{391331D7-BEEE-4F52-A39D-104B55172B68}" name="Quantity Total">
      <calculatedColumnFormula>SUM(Table1[Quantity])</calculatedColumnFormula>
    </tableColumn>
    <tableColumn id="2" xr3:uid="{817A26CF-DEA8-4803-B6B0-49E61FC34EDA}" name="Total Revenue">
      <calculatedColumnFormula>SUM(Table1[Revenue])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70AE-1553-4F2E-A24C-A61AC78347C0}">
  <dimension ref="A3:B36"/>
  <sheetViews>
    <sheetView workbookViewId="0">
      <selection activeCell="C24" sqref="C24"/>
    </sheetView>
  </sheetViews>
  <sheetFormatPr defaultRowHeight="14.4" x14ac:dyDescent="0.3"/>
  <cols>
    <col min="1" max="1" width="12.5546875" bestFit="1" customWidth="1"/>
    <col min="2" max="2" width="14.88671875" bestFit="1" customWidth="1"/>
  </cols>
  <sheetData>
    <row r="3" spans="1:2" x14ac:dyDescent="0.3">
      <c r="A3" s="1" t="s">
        <v>53</v>
      </c>
      <c r="B3" t="s">
        <v>55</v>
      </c>
    </row>
    <row r="4" spans="1:2" x14ac:dyDescent="0.3">
      <c r="A4" s="2" t="s">
        <v>7</v>
      </c>
      <c r="B4">
        <v>100000</v>
      </c>
    </row>
    <row r="5" spans="1:2" x14ac:dyDescent="0.3">
      <c r="A5" s="2" t="s">
        <v>11</v>
      </c>
      <c r="B5">
        <v>100000</v>
      </c>
    </row>
    <row r="6" spans="1:2" x14ac:dyDescent="0.3">
      <c r="A6" s="2" t="s">
        <v>14</v>
      </c>
      <c r="B6">
        <v>20000</v>
      </c>
    </row>
    <row r="7" spans="1:2" x14ac:dyDescent="0.3">
      <c r="A7" s="2" t="s">
        <v>18</v>
      </c>
      <c r="B7">
        <v>90000</v>
      </c>
    </row>
    <row r="8" spans="1:2" x14ac:dyDescent="0.3">
      <c r="A8" s="2" t="s">
        <v>21</v>
      </c>
      <c r="B8">
        <v>10500</v>
      </c>
    </row>
    <row r="9" spans="1:2" x14ac:dyDescent="0.3">
      <c r="A9" s="2" t="s">
        <v>23</v>
      </c>
      <c r="B9">
        <v>6400</v>
      </c>
    </row>
    <row r="10" spans="1:2" x14ac:dyDescent="0.3">
      <c r="A10" s="2" t="s">
        <v>25</v>
      </c>
      <c r="B10">
        <v>48000</v>
      </c>
    </row>
    <row r="11" spans="1:2" x14ac:dyDescent="0.3">
      <c r="A11" s="2" t="s">
        <v>27</v>
      </c>
      <c r="B11">
        <v>30000</v>
      </c>
    </row>
    <row r="12" spans="1:2" x14ac:dyDescent="0.3">
      <c r="A12" s="2" t="s">
        <v>29</v>
      </c>
      <c r="B12">
        <v>52000</v>
      </c>
    </row>
    <row r="13" spans="1:2" x14ac:dyDescent="0.3">
      <c r="A13" s="2" t="s">
        <v>30</v>
      </c>
      <c r="B13">
        <v>108000</v>
      </c>
    </row>
    <row r="14" spans="1:2" x14ac:dyDescent="0.3">
      <c r="A14" s="2" t="s">
        <v>31</v>
      </c>
      <c r="B14">
        <v>21600</v>
      </c>
    </row>
    <row r="15" spans="1:2" x14ac:dyDescent="0.3">
      <c r="A15" s="2" t="s">
        <v>32</v>
      </c>
      <c r="B15">
        <v>56000</v>
      </c>
    </row>
    <row r="16" spans="1:2" x14ac:dyDescent="0.3">
      <c r="A16" s="2" t="s">
        <v>33</v>
      </c>
      <c r="B16">
        <v>8000</v>
      </c>
    </row>
    <row r="17" spans="1:2" x14ac:dyDescent="0.3">
      <c r="A17" s="2" t="s">
        <v>34</v>
      </c>
      <c r="B17">
        <v>9000</v>
      </c>
    </row>
    <row r="18" spans="1:2" x14ac:dyDescent="0.3">
      <c r="A18" s="2" t="s">
        <v>35</v>
      </c>
      <c r="B18">
        <v>33000</v>
      </c>
    </row>
    <row r="19" spans="1:2" x14ac:dyDescent="0.3">
      <c r="A19" s="2" t="s">
        <v>36</v>
      </c>
      <c r="B19">
        <v>14000</v>
      </c>
    </row>
    <row r="20" spans="1:2" x14ac:dyDescent="0.3">
      <c r="A20" s="2" t="s">
        <v>37</v>
      </c>
      <c r="B20">
        <v>102000</v>
      </c>
    </row>
    <row r="21" spans="1:2" x14ac:dyDescent="0.3">
      <c r="A21" s="2" t="s">
        <v>38</v>
      </c>
      <c r="B21">
        <v>84000</v>
      </c>
    </row>
    <row r="22" spans="1:2" x14ac:dyDescent="0.3">
      <c r="A22" s="2" t="s">
        <v>39</v>
      </c>
      <c r="B22">
        <v>19800</v>
      </c>
    </row>
    <row r="23" spans="1:2" x14ac:dyDescent="0.3">
      <c r="A23" s="2" t="s">
        <v>40</v>
      </c>
      <c r="B23">
        <v>87000</v>
      </c>
    </row>
    <row r="24" spans="1:2" x14ac:dyDescent="0.3">
      <c r="A24" s="2" t="s">
        <v>41</v>
      </c>
      <c r="B24">
        <v>8400</v>
      </c>
    </row>
    <row r="25" spans="1:2" x14ac:dyDescent="0.3">
      <c r="A25" s="2" t="s">
        <v>42</v>
      </c>
      <c r="B25">
        <v>5950</v>
      </c>
    </row>
    <row r="26" spans="1:2" x14ac:dyDescent="0.3">
      <c r="A26" s="2" t="s">
        <v>43</v>
      </c>
      <c r="B26">
        <v>62500</v>
      </c>
    </row>
    <row r="27" spans="1:2" x14ac:dyDescent="0.3">
      <c r="A27" s="2" t="s">
        <v>44</v>
      </c>
      <c r="B27">
        <v>31000</v>
      </c>
    </row>
    <row r="28" spans="1:2" x14ac:dyDescent="0.3">
      <c r="A28" s="2" t="s">
        <v>45</v>
      </c>
      <c r="B28">
        <v>159000</v>
      </c>
    </row>
    <row r="29" spans="1:2" x14ac:dyDescent="0.3">
      <c r="A29" s="2" t="s">
        <v>46</v>
      </c>
      <c r="B29">
        <v>95000</v>
      </c>
    </row>
    <row r="30" spans="1:2" x14ac:dyDescent="0.3">
      <c r="A30" s="2" t="s">
        <v>47</v>
      </c>
      <c r="B30">
        <v>23100</v>
      </c>
    </row>
    <row r="31" spans="1:2" x14ac:dyDescent="0.3">
      <c r="A31" s="2" t="s">
        <v>48</v>
      </c>
      <c r="B31">
        <v>54000</v>
      </c>
    </row>
    <row r="32" spans="1:2" x14ac:dyDescent="0.3">
      <c r="A32" s="2" t="s">
        <v>49</v>
      </c>
      <c r="B32">
        <v>12000</v>
      </c>
    </row>
    <row r="33" spans="1:2" x14ac:dyDescent="0.3">
      <c r="A33" s="2" t="s">
        <v>50</v>
      </c>
      <c r="B33">
        <v>8550</v>
      </c>
    </row>
    <row r="34" spans="1:2" x14ac:dyDescent="0.3">
      <c r="A34" s="2" t="s">
        <v>51</v>
      </c>
      <c r="B34">
        <v>52000</v>
      </c>
    </row>
    <row r="35" spans="1:2" x14ac:dyDescent="0.3">
      <c r="A35" s="2" t="s">
        <v>52</v>
      </c>
      <c r="B35">
        <v>16000</v>
      </c>
    </row>
    <row r="36" spans="1:2" x14ac:dyDescent="0.3">
      <c r="A36" s="2" t="s">
        <v>54</v>
      </c>
      <c r="B36">
        <v>1526800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52A34-B065-488C-802A-F1F2E6799073}">
  <dimension ref="A3:B6"/>
  <sheetViews>
    <sheetView workbookViewId="0">
      <selection activeCell="E4" sqref="E4"/>
    </sheetView>
  </sheetViews>
  <sheetFormatPr defaultRowHeight="14.4" x14ac:dyDescent="0.3"/>
  <cols>
    <col min="1" max="1" width="12.5546875" bestFit="1" customWidth="1"/>
    <col min="2" max="2" width="14.88671875" bestFit="1" customWidth="1"/>
  </cols>
  <sheetData>
    <row r="3" spans="1:2" x14ac:dyDescent="0.3">
      <c r="A3" s="1" t="s">
        <v>53</v>
      </c>
      <c r="B3" t="s">
        <v>55</v>
      </c>
    </row>
    <row r="4" spans="1:2" x14ac:dyDescent="0.3">
      <c r="A4" s="2" t="s">
        <v>16</v>
      </c>
      <c r="B4">
        <v>153300</v>
      </c>
    </row>
    <row r="5" spans="1:2" x14ac:dyDescent="0.3">
      <c r="A5" s="2" t="s">
        <v>9</v>
      </c>
      <c r="B5">
        <v>1373500</v>
      </c>
    </row>
    <row r="6" spans="1:2" x14ac:dyDescent="0.3">
      <c r="A6" s="2" t="s">
        <v>54</v>
      </c>
      <c r="B6">
        <v>1526800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8D7C-6CAD-4B24-B5F5-569725885C57}">
  <dimension ref="A3:B12"/>
  <sheetViews>
    <sheetView workbookViewId="0">
      <selection activeCell="B16" sqref="B16"/>
    </sheetView>
  </sheetViews>
  <sheetFormatPr defaultRowHeight="14.4" x14ac:dyDescent="0.3"/>
  <cols>
    <col min="1" max="1" width="12.5546875" bestFit="1" customWidth="1"/>
    <col min="2" max="2" width="14.88671875" bestFit="1" customWidth="1"/>
  </cols>
  <sheetData>
    <row r="3" spans="1:2" x14ac:dyDescent="0.3">
      <c r="A3" s="1" t="s">
        <v>53</v>
      </c>
      <c r="B3" t="s">
        <v>55</v>
      </c>
    </row>
    <row r="4" spans="1:2" x14ac:dyDescent="0.3">
      <c r="A4" s="2" t="s">
        <v>8</v>
      </c>
      <c r="B4">
        <v>413000</v>
      </c>
    </row>
    <row r="5" spans="1:2" x14ac:dyDescent="0.3">
      <c r="A5" s="2" t="s">
        <v>12</v>
      </c>
      <c r="B5">
        <v>387000</v>
      </c>
    </row>
    <row r="6" spans="1:2" x14ac:dyDescent="0.3">
      <c r="A6" s="2" t="s">
        <v>19</v>
      </c>
      <c r="B6">
        <v>287000</v>
      </c>
    </row>
    <row r="7" spans="1:2" x14ac:dyDescent="0.3">
      <c r="A7" s="2" t="s">
        <v>26</v>
      </c>
      <c r="B7">
        <v>195500</v>
      </c>
    </row>
    <row r="8" spans="1:2" x14ac:dyDescent="0.3">
      <c r="A8" s="2" t="s">
        <v>28</v>
      </c>
      <c r="B8">
        <v>91000</v>
      </c>
    </row>
    <row r="9" spans="1:2" x14ac:dyDescent="0.3">
      <c r="A9" s="2" t="s">
        <v>15</v>
      </c>
      <c r="B9">
        <v>84500</v>
      </c>
    </row>
    <row r="10" spans="1:2" x14ac:dyDescent="0.3">
      <c r="A10" s="2" t="s">
        <v>22</v>
      </c>
      <c r="B10">
        <v>38900</v>
      </c>
    </row>
    <row r="11" spans="1:2" x14ac:dyDescent="0.3">
      <c r="A11" s="2" t="s">
        <v>24</v>
      </c>
      <c r="B11">
        <v>29900</v>
      </c>
    </row>
    <row r="12" spans="1:2" x14ac:dyDescent="0.3">
      <c r="A12" s="2" t="s">
        <v>54</v>
      </c>
      <c r="B12">
        <v>1526800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32C2-DB9D-4996-94C5-1C2764426CDB}">
  <dimension ref="A3:B5"/>
  <sheetViews>
    <sheetView topLeftCell="A8" workbookViewId="0">
      <selection activeCell="B18" sqref="B18"/>
    </sheetView>
  </sheetViews>
  <sheetFormatPr defaultRowHeight="14.4" x14ac:dyDescent="0.3"/>
  <cols>
    <col min="1" max="1" width="12.5546875" bestFit="1" customWidth="1"/>
    <col min="2" max="2" width="14.88671875" bestFit="1" customWidth="1"/>
  </cols>
  <sheetData>
    <row r="3" spans="1:2" x14ac:dyDescent="0.3">
      <c r="A3" s="1" t="s">
        <v>53</v>
      </c>
      <c r="B3" t="s">
        <v>55</v>
      </c>
    </row>
    <row r="4" spans="1:2" x14ac:dyDescent="0.3">
      <c r="A4" s="2" t="s">
        <v>17</v>
      </c>
      <c r="B4">
        <v>280000</v>
      </c>
    </row>
    <row r="5" spans="1:2" x14ac:dyDescent="0.3">
      <c r="A5" s="2" t="s">
        <v>54</v>
      </c>
      <c r="B5">
        <v>280000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3B6B-C782-499D-B2DF-02AA121B384D}">
  <dimension ref="A1:AA37"/>
  <sheetViews>
    <sheetView topLeftCell="X1" workbookViewId="0">
      <selection activeCell="AC4" sqref="AC4"/>
    </sheetView>
  </sheetViews>
  <sheetFormatPr defaultRowHeight="14.4" x14ac:dyDescent="0.3"/>
  <cols>
    <col min="1" max="1" width="12.6640625" style="3" bestFit="1" customWidth="1"/>
    <col min="2" max="25" width="8.88671875" style="3"/>
    <col min="26" max="26" width="12.5546875" style="3" bestFit="1" customWidth="1"/>
    <col min="27" max="27" width="14.88671875" style="3" bestFit="1" customWidth="1"/>
    <col min="28" max="16384" width="8.88671875" style="3"/>
  </cols>
  <sheetData>
    <row r="1" spans="1:27" x14ac:dyDescent="0.3">
      <c r="A1" s="4" t="s">
        <v>56</v>
      </c>
      <c r="B1" s="4"/>
      <c r="C1" s="4"/>
      <c r="D1" s="4"/>
      <c r="E1" s="4"/>
      <c r="I1" s="5" t="s">
        <v>57</v>
      </c>
      <c r="J1" s="5"/>
      <c r="K1" s="5"/>
      <c r="L1" s="5"/>
      <c r="M1" s="5"/>
      <c r="N1" s="5"/>
      <c r="O1" s="5"/>
      <c r="P1" s="5"/>
      <c r="Q1" s="5" t="s">
        <v>58</v>
      </c>
      <c r="R1" s="5"/>
      <c r="S1" s="5"/>
      <c r="T1" s="5"/>
      <c r="U1" s="5"/>
      <c r="V1" s="5"/>
      <c r="W1" s="5"/>
      <c r="X1" s="5"/>
    </row>
    <row r="4" spans="1:27" x14ac:dyDescent="0.3">
      <c r="Z4" s="1" t="s">
        <v>53</v>
      </c>
      <c r="AA4" t="s">
        <v>55</v>
      </c>
    </row>
    <row r="5" spans="1:27" x14ac:dyDescent="0.3">
      <c r="Z5" s="2" t="s">
        <v>7</v>
      </c>
      <c r="AA5">
        <v>100000</v>
      </c>
    </row>
    <row r="6" spans="1:27" x14ac:dyDescent="0.3">
      <c r="Z6" s="2" t="s">
        <v>11</v>
      </c>
      <c r="AA6">
        <v>100000</v>
      </c>
    </row>
    <row r="7" spans="1:27" x14ac:dyDescent="0.3">
      <c r="Z7" s="2" t="s">
        <v>14</v>
      </c>
      <c r="AA7">
        <v>20000</v>
      </c>
    </row>
    <row r="8" spans="1:27" x14ac:dyDescent="0.3">
      <c r="Z8" s="2" t="s">
        <v>18</v>
      </c>
      <c r="AA8">
        <v>90000</v>
      </c>
    </row>
    <row r="9" spans="1:27" x14ac:dyDescent="0.3">
      <c r="Z9" s="2" t="s">
        <v>21</v>
      </c>
      <c r="AA9">
        <v>10500</v>
      </c>
    </row>
    <row r="10" spans="1:27" x14ac:dyDescent="0.3">
      <c r="Z10" s="2" t="s">
        <v>23</v>
      </c>
      <c r="AA10">
        <v>6400</v>
      </c>
    </row>
    <row r="11" spans="1:27" x14ac:dyDescent="0.3">
      <c r="Z11" s="2" t="s">
        <v>25</v>
      </c>
      <c r="AA11">
        <v>48000</v>
      </c>
    </row>
    <row r="12" spans="1:27" x14ac:dyDescent="0.3">
      <c r="Z12" s="2" t="s">
        <v>27</v>
      </c>
      <c r="AA12">
        <v>30000</v>
      </c>
    </row>
    <row r="13" spans="1:27" x14ac:dyDescent="0.3">
      <c r="Z13" s="2" t="s">
        <v>29</v>
      </c>
      <c r="AA13">
        <v>52000</v>
      </c>
    </row>
    <row r="14" spans="1:27" x14ac:dyDescent="0.3">
      <c r="Z14" s="2" t="s">
        <v>30</v>
      </c>
      <c r="AA14">
        <v>108000</v>
      </c>
    </row>
    <row r="15" spans="1:27" x14ac:dyDescent="0.3">
      <c r="Z15" s="2" t="s">
        <v>31</v>
      </c>
      <c r="AA15">
        <v>21600</v>
      </c>
    </row>
    <row r="16" spans="1:27" x14ac:dyDescent="0.3">
      <c r="Z16" s="2" t="s">
        <v>32</v>
      </c>
      <c r="AA16">
        <v>56000</v>
      </c>
    </row>
    <row r="17" spans="1:27" x14ac:dyDescent="0.3">
      <c r="Z17" s="2" t="s">
        <v>33</v>
      </c>
      <c r="AA17">
        <v>8000</v>
      </c>
    </row>
    <row r="18" spans="1:27" x14ac:dyDescent="0.3">
      <c r="A18" s="5" t="s">
        <v>59</v>
      </c>
      <c r="B18" s="5"/>
      <c r="C18" s="5"/>
      <c r="D18" s="5"/>
      <c r="E18" s="5"/>
      <c r="F18" s="5"/>
      <c r="G18" s="5"/>
      <c r="Z18" s="2" t="s">
        <v>34</v>
      </c>
      <c r="AA18">
        <v>9000</v>
      </c>
    </row>
    <row r="19" spans="1:27" x14ac:dyDescent="0.3">
      <c r="I19" s="5" t="s">
        <v>60</v>
      </c>
      <c r="J19" s="5"/>
      <c r="K19" s="5"/>
      <c r="L19" s="5"/>
      <c r="M19" s="5"/>
      <c r="N19" s="5"/>
      <c r="O19" s="5"/>
      <c r="P19" s="5"/>
      <c r="Z19" s="2" t="s">
        <v>35</v>
      </c>
      <c r="AA19">
        <v>33000</v>
      </c>
    </row>
    <row r="20" spans="1:27" x14ac:dyDescent="0.3">
      <c r="Z20" s="2" t="s">
        <v>36</v>
      </c>
      <c r="AA20">
        <v>14000</v>
      </c>
    </row>
    <row r="21" spans="1:27" x14ac:dyDescent="0.3">
      <c r="Z21" s="2" t="s">
        <v>37</v>
      </c>
      <c r="AA21">
        <v>102000</v>
      </c>
    </row>
    <row r="22" spans="1:27" x14ac:dyDescent="0.3">
      <c r="Z22" s="2" t="s">
        <v>38</v>
      </c>
      <c r="AA22">
        <v>84000</v>
      </c>
    </row>
    <row r="23" spans="1:27" x14ac:dyDescent="0.3">
      <c r="Z23" s="2" t="s">
        <v>39</v>
      </c>
      <c r="AA23">
        <v>19800</v>
      </c>
    </row>
    <row r="24" spans="1:27" x14ac:dyDescent="0.3">
      <c r="Z24" s="2" t="s">
        <v>40</v>
      </c>
      <c r="AA24">
        <v>87000</v>
      </c>
    </row>
    <row r="25" spans="1:27" x14ac:dyDescent="0.3">
      <c r="Z25" s="2" t="s">
        <v>41</v>
      </c>
      <c r="AA25">
        <v>8400</v>
      </c>
    </row>
    <row r="26" spans="1:27" x14ac:dyDescent="0.3">
      <c r="Z26" s="2" t="s">
        <v>42</v>
      </c>
      <c r="AA26">
        <v>5950</v>
      </c>
    </row>
    <row r="27" spans="1:27" x14ac:dyDescent="0.3">
      <c r="Z27" s="2" t="s">
        <v>43</v>
      </c>
      <c r="AA27">
        <v>62500</v>
      </c>
    </row>
    <row r="28" spans="1:27" x14ac:dyDescent="0.3">
      <c r="Z28" s="2" t="s">
        <v>44</v>
      </c>
      <c r="AA28">
        <v>31000</v>
      </c>
    </row>
    <row r="29" spans="1:27" x14ac:dyDescent="0.3">
      <c r="Z29" s="2" t="s">
        <v>45</v>
      </c>
      <c r="AA29">
        <v>159000</v>
      </c>
    </row>
    <row r="30" spans="1:27" x14ac:dyDescent="0.3">
      <c r="Z30" s="2" t="s">
        <v>46</v>
      </c>
      <c r="AA30">
        <v>95000</v>
      </c>
    </row>
    <row r="31" spans="1:27" x14ac:dyDescent="0.3">
      <c r="Z31" s="2" t="s">
        <v>47</v>
      </c>
      <c r="AA31">
        <v>23100</v>
      </c>
    </row>
    <row r="32" spans="1:27" x14ac:dyDescent="0.3">
      <c r="Z32" s="2" t="s">
        <v>48</v>
      </c>
      <c r="AA32">
        <v>54000</v>
      </c>
    </row>
    <row r="33" spans="26:27" x14ac:dyDescent="0.3">
      <c r="Z33" s="2" t="s">
        <v>49</v>
      </c>
      <c r="AA33">
        <v>12000</v>
      </c>
    </row>
    <row r="34" spans="26:27" x14ac:dyDescent="0.3">
      <c r="Z34" s="2" t="s">
        <v>50</v>
      </c>
      <c r="AA34">
        <v>8550</v>
      </c>
    </row>
    <row r="35" spans="26:27" x14ac:dyDescent="0.3">
      <c r="Z35" s="2" t="s">
        <v>51</v>
      </c>
      <c r="AA35">
        <v>52000</v>
      </c>
    </row>
    <row r="36" spans="26:27" x14ac:dyDescent="0.3">
      <c r="Z36" s="2" t="s">
        <v>52</v>
      </c>
      <c r="AA36">
        <v>16000</v>
      </c>
    </row>
    <row r="37" spans="26:27" x14ac:dyDescent="0.3">
      <c r="Z37" s="2" t="s">
        <v>54</v>
      </c>
      <c r="AA37">
        <v>1526800</v>
      </c>
    </row>
  </sheetData>
  <mergeCells count="5">
    <mergeCell ref="A1:E1"/>
    <mergeCell ref="I1:P1"/>
    <mergeCell ref="Q1:X1"/>
    <mergeCell ref="A18:G18"/>
    <mergeCell ref="I19:P1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workbookViewId="0">
      <selection activeCell="N13" sqref="N13"/>
    </sheetView>
  </sheetViews>
  <sheetFormatPr defaultRowHeight="14.4" x14ac:dyDescent="0.3"/>
  <cols>
    <col min="1" max="1" width="10.33203125" bestFit="1" customWidth="1"/>
    <col min="2" max="2" width="11.109375" bestFit="1" customWidth="1"/>
    <col min="3" max="3" width="10.44140625" bestFit="1" customWidth="1"/>
    <col min="4" max="4" width="8.6640625" customWidth="1"/>
    <col min="5" max="5" width="10.21875" customWidth="1"/>
    <col min="7" max="7" width="10.21875" customWidth="1"/>
    <col min="10" max="11" width="14.88671875" customWidth="1"/>
  </cols>
  <sheetData>
    <row r="1" spans="1:11" x14ac:dyDescent="0.3">
      <c r="A1" t="s">
        <v>0</v>
      </c>
      <c r="B1" t="s">
        <v>1</v>
      </c>
      <c r="C1" t="s">
        <v>2</v>
      </c>
      <c r="D1" t="s">
        <v>3</v>
      </c>
      <c r="E1" t="s">
        <v>4</v>
      </c>
      <c r="F1" t="s">
        <v>5</v>
      </c>
      <c r="G1" t="s">
        <v>6</v>
      </c>
    </row>
    <row r="2" spans="1:11" x14ac:dyDescent="0.3">
      <c r="A2" t="s">
        <v>7</v>
      </c>
      <c r="B2" t="s">
        <v>8</v>
      </c>
      <c r="C2" t="s">
        <v>9</v>
      </c>
      <c r="D2" t="s">
        <v>10</v>
      </c>
      <c r="E2">
        <v>2</v>
      </c>
      <c r="F2">
        <v>50000</v>
      </c>
      <c r="G2">
        <v>100000</v>
      </c>
    </row>
    <row r="3" spans="1:11" x14ac:dyDescent="0.3">
      <c r="A3" t="s">
        <v>11</v>
      </c>
      <c r="B3" t="s">
        <v>12</v>
      </c>
      <c r="C3" t="s">
        <v>9</v>
      </c>
      <c r="D3" t="s">
        <v>13</v>
      </c>
      <c r="E3">
        <v>5</v>
      </c>
      <c r="F3">
        <v>20000</v>
      </c>
      <c r="G3">
        <v>100000</v>
      </c>
    </row>
    <row r="4" spans="1:11" x14ac:dyDescent="0.3">
      <c r="A4" t="s">
        <v>14</v>
      </c>
      <c r="B4" t="s">
        <v>15</v>
      </c>
      <c r="C4" t="s">
        <v>16</v>
      </c>
      <c r="D4" t="s">
        <v>17</v>
      </c>
      <c r="E4">
        <v>10</v>
      </c>
      <c r="F4">
        <v>2000</v>
      </c>
      <c r="G4">
        <v>20000</v>
      </c>
    </row>
    <row r="5" spans="1:11" x14ac:dyDescent="0.3">
      <c r="A5" t="s">
        <v>18</v>
      </c>
      <c r="B5" t="s">
        <v>19</v>
      </c>
      <c r="C5" t="s">
        <v>9</v>
      </c>
      <c r="D5" t="s">
        <v>20</v>
      </c>
      <c r="E5">
        <v>3</v>
      </c>
      <c r="F5">
        <v>30000</v>
      </c>
      <c r="G5">
        <v>90000</v>
      </c>
      <c r="J5" t="s">
        <v>61</v>
      </c>
      <c r="K5" t="s">
        <v>62</v>
      </c>
    </row>
    <row r="6" spans="1:11" x14ac:dyDescent="0.3">
      <c r="A6" t="s">
        <v>21</v>
      </c>
      <c r="B6" t="s">
        <v>22</v>
      </c>
      <c r="C6" t="s">
        <v>16</v>
      </c>
      <c r="D6" t="s">
        <v>10</v>
      </c>
      <c r="E6">
        <v>7</v>
      </c>
      <c r="F6">
        <v>1500</v>
      </c>
      <c r="G6">
        <v>10500</v>
      </c>
      <c r="J6">
        <f>SUM(Table1[Quantity])</f>
        <v>162</v>
      </c>
      <c r="K6">
        <f>SUM(Table1[Revenue])</f>
        <v>1526800</v>
      </c>
    </row>
    <row r="7" spans="1:11" x14ac:dyDescent="0.3">
      <c r="A7" t="s">
        <v>23</v>
      </c>
      <c r="B7" t="s">
        <v>24</v>
      </c>
      <c r="C7" t="s">
        <v>16</v>
      </c>
      <c r="D7" t="s">
        <v>13</v>
      </c>
      <c r="E7">
        <v>8</v>
      </c>
      <c r="F7">
        <v>800</v>
      </c>
      <c r="G7">
        <v>6400</v>
      </c>
    </row>
    <row r="8" spans="1:11" x14ac:dyDescent="0.3">
      <c r="A8" t="s">
        <v>25</v>
      </c>
      <c r="B8" t="s">
        <v>26</v>
      </c>
      <c r="C8" t="s">
        <v>9</v>
      </c>
      <c r="D8" t="s">
        <v>17</v>
      </c>
      <c r="E8">
        <v>4</v>
      </c>
      <c r="F8">
        <v>12000</v>
      </c>
      <c r="G8">
        <v>48000</v>
      </c>
    </row>
    <row r="9" spans="1:11" x14ac:dyDescent="0.3">
      <c r="A9" t="s">
        <v>27</v>
      </c>
      <c r="B9" t="s">
        <v>28</v>
      </c>
      <c r="C9" t="s">
        <v>9</v>
      </c>
      <c r="D9" t="s">
        <v>20</v>
      </c>
      <c r="E9">
        <v>2</v>
      </c>
      <c r="F9">
        <v>15000</v>
      </c>
      <c r="G9">
        <v>30000</v>
      </c>
    </row>
    <row r="10" spans="1:11" x14ac:dyDescent="0.3">
      <c r="A10" t="s">
        <v>29</v>
      </c>
      <c r="B10" t="s">
        <v>8</v>
      </c>
      <c r="C10" t="s">
        <v>9</v>
      </c>
      <c r="D10" t="s">
        <v>10</v>
      </c>
      <c r="E10">
        <v>1</v>
      </c>
      <c r="F10">
        <v>52000</v>
      </c>
      <c r="G10">
        <v>52000</v>
      </c>
    </row>
    <row r="11" spans="1:11" x14ac:dyDescent="0.3">
      <c r="A11" t="s">
        <v>30</v>
      </c>
      <c r="B11" t="s">
        <v>12</v>
      </c>
      <c r="C11" t="s">
        <v>9</v>
      </c>
      <c r="D11" t="s">
        <v>13</v>
      </c>
      <c r="E11">
        <v>6</v>
      </c>
      <c r="F11">
        <v>18000</v>
      </c>
      <c r="G11">
        <v>108000</v>
      </c>
    </row>
    <row r="12" spans="1:11" x14ac:dyDescent="0.3">
      <c r="A12" t="s">
        <v>31</v>
      </c>
      <c r="B12" t="s">
        <v>15</v>
      </c>
      <c r="C12" t="s">
        <v>16</v>
      </c>
      <c r="D12" t="s">
        <v>17</v>
      </c>
      <c r="E12">
        <v>12</v>
      </c>
      <c r="F12">
        <v>1800</v>
      </c>
      <c r="G12">
        <v>21600</v>
      </c>
    </row>
    <row r="13" spans="1:11" x14ac:dyDescent="0.3">
      <c r="A13" t="s">
        <v>32</v>
      </c>
      <c r="B13" t="s">
        <v>19</v>
      </c>
      <c r="C13" t="s">
        <v>9</v>
      </c>
      <c r="D13" t="s">
        <v>20</v>
      </c>
      <c r="E13">
        <v>2</v>
      </c>
      <c r="F13">
        <v>28000</v>
      </c>
      <c r="G13">
        <v>56000</v>
      </c>
    </row>
    <row r="14" spans="1:11" x14ac:dyDescent="0.3">
      <c r="A14" t="s">
        <v>33</v>
      </c>
      <c r="B14" t="s">
        <v>22</v>
      </c>
      <c r="C14" t="s">
        <v>16</v>
      </c>
      <c r="D14" t="s">
        <v>10</v>
      </c>
      <c r="E14">
        <v>5</v>
      </c>
      <c r="F14">
        <v>1600</v>
      </c>
      <c r="G14">
        <v>8000</v>
      </c>
    </row>
    <row r="15" spans="1:11" x14ac:dyDescent="0.3">
      <c r="A15" t="s">
        <v>34</v>
      </c>
      <c r="B15" t="s">
        <v>24</v>
      </c>
      <c r="C15" t="s">
        <v>16</v>
      </c>
      <c r="D15" t="s">
        <v>13</v>
      </c>
      <c r="E15">
        <v>10</v>
      </c>
      <c r="F15">
        <v>900</v>
      </c>
      <c r="G15">
        <v>9000</v>
      </c>
    </row>
    <row r="16" spans="1:11" x14ac:dyDescent="0.3">
      <c r="A16" t="s">
        <v>35</v>
      </c>
      <c r="B16" t="s">
        <v>26</v>
      </c>
      <c r="C16" t="s">
        <v>9</v>
      </c>
      <c r="D16" t="s">
        <v>17</v>
      </c>
      <c r="E16">
        <v>3</v>
      </c>
      <c r="F16">
        <v>11000</v>
      </c>
      <c r="G16">
        <v>33000</v>
      </c>
    </row>
    <row r="17" spans="1:7" x14ac:dyDescent="0.3">
      <c r="A17" t="s">
        <v>36</v>
      </c>
      <c r="B17" t="s">
        <v>28</v>
      </c>
      <c r="C17" t="s">
        <v>9</v>
      </c>
      <c r="D17" t="s">
        <v>20</v>
      </c>
      <c r="E17">
        <v>1</v>
      </c>
      <c r="F17">
        <v>14000</v>
      </c>
      <c r="G17">
        <v>14000</v>
      </c>
    </row>
    <row r="18" spans="1:7" x14ac:dyDescent="0.3">
      <c r="A18" t="s">
        <v>37</v>
      </c>
      <c r="B18" t="s">
        <v>8</v>
      </c>
      <c r="C18" t="s">
        <v>9</v>
      </c>
      <c r="D18" t="s">
        <v>10</v>
      </c>
      <c r="E18">
        <v>2</v>
      </c>
      <c r="F18">
        <v>51000</v>
      </c>
      <c r="G18">
        <v>102000</v>
      </c>
    </row>
    <row r="19" spans="1:7" x14ac:dyDescent="0.3">
      <c r="A19" t="s">
        <v>38</v>
      </c>
      <c r="B19" t="s">
        <v>12</v>
      </c>
      <c r="C19" t="s">
        <v>9</v>
      </c>
      <c r="D19" t="s">
        <v>13</v>
      </c>
      <c r="E19">
        <v>4</v>
      </c>
      <c r="F19">
        <v>21000</v>
      </c>
      <c r="G19">
        <v>84000</v>
      </c>
    </row>
    <row r="20" spans="1:7" x14ac:dyDescent="0.3">
      <c r="A20" t="s">
        <v>39</v>
      </c>
      <c r="B20" t="s">
        <v>15</v>
      </c>
      <c r="C20" t="s">
        <v>16</v>
      </c>
      <c r="D20" t="s">
        <v>17</v>
      </c>
      <c r="E20">
        <v>9</v>
      </c>
      <c r="F20">
        <v>2200</v>
      </c>
      <c r="G20">
        <v>19800</v>
      </c>
    </row>
    <row r="21" spans="1:7" x14ac:dyDescent="0.3">
      <c r="A21" t="s">
        <v>40</v>
      </c>
      <c r="B21" t="s">
        <v>19</v>
      </c>
      <c r="C21" t="s">
        <v>9</v>
      </c>
      <c r="D21" t="s">
        <v>20</v>
      </c>
      <c r="E21">
        <v>3</v>
      </c>
      <c r="F21">
        <v>29000</v>
      </c>
      <c r="G21">
        <v>87000</v>
      </c>
    </row>
    <row r="22" spans="1:7" x14ac:dyDescent="0.3">
      <c r="A22" t="s">
        <v>41</v>
      </c>
      <c r="B22" t="s">
        <v>22</v>
      </c>
      <c r="C22" t="s">
        <v>16</v>
      </c>
      <c r="D22" t="s">
        <v>10</v>
      </c>
      <c r="E22">
        <v>6</v>
      </c>
      <c r="F22">
        <v>1400</v>
      </c>
      <c r="G22">
        <v>8400</v>
      </c>
    </row>
    <row r="23" spans="1:7" x14ac:dyDescent="0.3">
      <c r="A23" t="s">
        <v>42</v>
      </c>
      <c r="B23" t="s">
        <v>24</v>
      </c>
      <c r="C23" t="s">
        <v>16</v>
      </c>
      <c r="D23" t="s">
        <v>13</v>
      </c>
      <c r="E23">
        <v>7</v>
      </c>
      <c r="F23">
        <v>850</v>
      </c>
      <c r="G23">
        <v>5950</v>
      </c>
    </row>
    <row r="24" spans="1:7" x14ac:dyDescent="0.3">
      <c r="A24" t="s">
        <v>43</v>
      </c>
      <c r="B24" t="s">
        <v>26</v>
      </c>
      <c r="C24" t="s">
        <v>9</v>
      </c>
      <c r="D24" t="s">
        <v>17</v>
      </c>
      <c r="E24">
        <v>5</v>
      </c>
      <c r="F24">
        <v>12500</v>
      </c>
      <c r="G24">
        <v>62500</v>
      </c>
    </row>
    <row r="25" spans="1:7" x14ac:dyDescent="0.3">
      <c r="A25" t="s">
        <v>44</v>
      </c>
      <c r="B25" t="s">
        <v>28</v>
      </c>
      <c r="C25" t="s">
        <v>9</v>
      </c>
      <c r="D25" t="s">
        <v>20</v>
      </c>
      <c r="E25">
        <v>2</v>
      </c>
      <c r="F25">
        <v>15500</v>
      </c>
      <c r="G25">
        <v>31000</v>
      </c>
    </row>
    <row r="26" spans="1:7" x14ac:dyDescent="0.3">
      <c r="A26" t="s">
        <v>45</v>
      </c>
      <c r="B26" t="s">
        <v>8</v>
      </c>
      <c r="C26" t="s">
        <v>9</v>
      </c>
      <c r="D26" t="s">
        <v>10</v>
      </c>
      <c r="E26">
        <v>3</v>
      </c>
      <c r="F26">
        <v>53000</v>
      </c>
      <c r="G26">
        <v>159000</v>
      </c>
    </row>
    <row r="27" spans="1:7" x14ac:dyDescent="0.3">
      <c r="A27" t="s">
        <v>46</v>
      </c>
      <c r="B27" t="s">
        <v>12</v>
      </c>
      <c r="C27" t="s">
        <v>9</v>
      </c>
      <c r="D27" t="s">
        <v>13</v>
      </c>
      <c r="E27">
        <v>5</v>
      </c>
      <c r="F27">
        <v>19000</v>
      </c>
      <c r="G27">
        <v>95000</v>
      </c>
    </row>
    <row r="28" spans="1:7" x14ac:dyDescent="0.3">
      <c r="A28" t="s">
        <v>47</v>
      </c>
      <c r="B28" t="s">
        <v>15</v>
      </c>
      <c r="C28" t="s">
        <v>16</v>
      </c>
      <c r="D28" t="s">
        <v>17</v>
      </c>
      <c r="E28">
        <v>11</v>
      </c>
      <c r="F28">
        <v>2100</v>
      </c>
      <c r="G28">
        <v>23100</v>
      </c>
    </row>
    <row r="29" spans="1:7" x14ac:dyDescent="0.3">
      <c r="A29" t="s">
        <v>48</v>
      </c>
      <c r="B29" t="s">
        <v>19</v>
      </c>
      <c r="C29" t="s">
        <v>9</v>
      </c>
      <c r="D29" t="s">
        <v>20</v>
      </c>
      <c r="E29">
        <v>2</v>
      </c>
      <c r="F29">
        <v>27000</v>
      </c>
      <c r="G29">
        <v>54000</v>
      </c>
    </row>
    <row r="30" spans="1:7" x14ac:dyDescent="0.3">
      <c r="A30" t="s">
        <v>49</v>
      </c>
      <c r="B30" t="s">
        <v>22</v>
      </c>
      <c r="C30" t="s">
        <v>16</v>
      </c>
      <c r="D30" t="s">
        <v>10</v>
      </c>
      <c r="E30">
        <v>8</v>
      </c>
      <c r="F30">
        <v>1500</v>
      </c>
      <c r="G30">
        <v>12000</v>
      </c>
    </row>
    <row r="31" spans="1:7" x14ac:dyDescent="0.3">
      <c r="A31" t="s">
        <v>50</v>
      </c>
      <c r="B31" t="s">
        <v>24</v>
      </c>
      <c r="C31" t="s">
        <v>16</v>
      </c>
      <c r="D31" t="s">
        <v>13</v>
      </c>
      <c r="E31">
        <v>9</v>
      </c>
      <c r="F31">
        <v>950</v>
      </c>
      <c r="G31">
        <v>8550</v>
      </c>
    </row>
    <row r="32" spans="1:7" x14ac:dyDescent="0.3">
      <c r="A32" t="s">
        <v>51</v>
      </c>
      <c r="B32" t="s">
        <v>26</v>
      </c>
      <c r="C32" t="s">
        <v>9</v>
      </c>
      <c r="D32" t="s">
        <v>17</v>
      </c>
      <c r="E32">
        <v>4</v>
      </c>
      <c r="F32">
        <v>13000</v>
      </c>
      <c r="G32">
        <v>52000</v>
      </c>
    </row>
    <row r="33" spans="1:7" x14ac:dyDescent="0.3">
      <c r="A33" t="s">
        <v>52</v>
      </c>
      <c r="B33" t="s">
        <v>28</v>
      </c>
      <c r="C33" t="s">
        <v>9</v>
      </c>
      <c r="D33" t="s">
        <v>20</v>
      </c>
      <c r="E33">
        <v>1</v>
      </c>
      <c r="F33">
        <v>16000</v>
      </c>
      <c r="G33">
        <v>16000</v>
      </c>
    </row>
  </sheetData>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RUTHVIK AKAVARAM RUTHVIK AKAVARAM</cp:lastModifiedBy>
  <dcterms:created xsi:type="dcterms:W3CDTF">2026-05-05T05:25:56Z</dcterms:created>
  <dcterms:modified xsi:type="dcterms:W3CDTF">2026-05-05T07:07:57Z</dcterms:modified>
</cp:coreProperties>
</file>